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vexpress-my.sharepoint.com/personal/especialista_preventa_provexpress_com_co/Documents/Downloads/"/>
    </mc:Choice>
  </mc:AlternateContent>
  <xr:revisionPtr revIDLastSave="3" documentId="11_C0A41047B5807617DEF748FE4F123513A846CA6C" xr6:coauthVersionLast="47" xr6:coauthVersionMax="47" xr10:uidLastSave="{27DCCB33-6E90-40A0-9219-9CB61E330999}"/>
  <bookViews>
    <workbookView xWindow="3300" yWindow="4185" windowWidth="21600" windowHeight="11295" xr2:uid="{00000000-000D-0000-FFFF-FFFF00000000}"/>
  </bookViews>
  <sheets>
    <sheet name="Consolid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12" i="1"/>
  <c r="D15" i="1" s="1"/>
  <c r="D26" i="1" l="1"/>
  <c r="D30" i="1"/>
  <c r="D23" i="1"/>
  <c r="D17" i="1"/>
  <c r="D18" i="1" s="1"/>
  <c r="D14" i="1"/>
  <c r="D21" i="1" l="1"/>
  <c r="D31" i="1" s="1"/>
  <c r="D33" i="1" s="1"/>
  <c r="D35" i="1" l="1"/>
  <c r="D34" i="1"/>
</calcChain>
</file>

<file path=xl/sharedStrings.xml><?xml version="1.0" encoding="utf-8"?>
<sst xmlns="http://schemas.openxmlformats.org/spreadsheetml/2006/main" count="37" uniqueCount="37">
  <si>
    <t>FORMATO EVALUACIÓN DE PROYECTOS</t>
  </si>
  <si>
    <t>CÓDIGO:
COM-F-xxx</t>
  </si>
  <si>
    <t>Versión 00</t>
  </si>
  <si>
    <t>Página 1 de 1</t>
  </si>
  <si>
    <t>INFORMACION DEL PROYECTO</t>
  </si>
  <si>
    <t>FECHA SOLICITUD</t>
  </si>
  <si>
    <t>CLIENTE</t>
  </si>
  <si>
    <t>Concepto</t>
  </si>
  <si>
    <t>Valor</t>
  </si>
  <si>
    <t>Costos Directos del Proyecto</t>
  </si>
  <si>
    <t>Productos fisicos Hardware</t>
  </si>
  <si>
    <t>Servicios</t>
  </si>
  <si>
    <t>Licenciamientos</t>
  </si>
  <si>
    <t>Obsequios</t>
  </si>
  <si>
    <t>Total Costos Directos del Proyecto</t>
  </si>
  <si>
    <t>% Margen Objetivo</t>
  </si>
  <si>
    <t>Utilidad esperada Antes de gastos internos</t>
  </si>
  <si>
    <t>Valor de venta  del Proyecto Antes de IVA</t>
  </si>
  <si>
    <t>% IVA aplicable</t>
  </si>
  <si>
    <t xml:space="preserve">IVA </t>
  </si>
  <si>
    <t>Valor a Facturar</t>
  </si>
  <si>
    <t>Costos Internos</t>
  </si>
  <si>
    <t>% Comisión de Ventas del comercial</t>
  </si>
  <si>
    <t>Comision estimada del Comercial incluida carga prestacional</t>
  </si>
  <si>
    <t>% Impuestos estimados de evaluación</t>
  </si>
  <si>
    <t>Valor impuestos estimados sobre valor de venta</t>
  </si>
  <si>
    <t>Costo fletes</t>
  </si>
  <si>
    <t>% Imprevistos estimados</t>
  </si>
  <si>
    <t>Valor  Imprevistos estimados</t>
  </si>
  <si>
    <t>Plazo de Crédito al cliente en días</t>
  </si>
  <si>
    <t>% Base de financiación mensual</t>
  </si>
  <si>
    <t>% de financiación  ligado al plazo</t>
  </si>
  <si>
    <t>Costo de financiación para evaluación</t>
  </si>
  <si>
    <t>Total Costos internos del proyecto</t>
  </si>
  <si>
    <t>Utilidad Bruta Provexpress</t>
  </si>
  <si>
    <t>% Margen Bruto Provexpress sobre costos</t>
  </si>
  <si>
    <t>% Margen Bruto Provexpress sobre Valor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</si>
</sst>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4" fillId="0" borderId="0"/>
    <xf numFmtId="9" fontId="4" fillId="0" borderId="0"/>
  </cellStyleXfs>
  <cellXfs count="5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5" xfId="0" applyBorder="1"/>
    <xf numFmtId="0" fontId="0" fillId="0" borderId="3" xfId="0" applyBorder="1"/>
    <xf numFmtId="0" fontId="1" fillId="0" borderId="7" xfId="0" applyFont="1" applyBorder="1" applyAlignment="1">
      <alignment vertical="center" wrapText="1"/>
    </xf>
    <xf numFmtId="0" fontId="0" fillId="0" borderId="11" xfId="0" applyBorder="1"/>
    <xf numFmtId="0" fontId="0" fillId="0" borderId="6" xfId="0" applyBorder="1"/>
    <xf numFmtId="0" fontId="0" fillId="0" borderId="1" xfId="0" applyBorder="1"/>
    <xf numFmtId="0" fontId="0" fillId="0" borderId="7" xfId="0" applyBorder="1" applyAlignment="1">
      <alignment horizontal="center" vertical="center"/>
    </xf>
    <xf numFmtId="0" fontId="0" fillId="0" borderId="12" xfId="0" applyBorder="1"/>
    <xf numFmtId="0" fontId="2" fillId="0" borderId="8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44" fontId="15" fillId="3" borderId="7" xfId="0" applyNumberFormat="1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3" fillId="3" borderId="9" xfId="0" applyFont="1" applyFill="1" applyBorder="1"/>
    <xf numFmtId="0" fontId="14" fillId="3" borderId="10" xfId="0" applyFont="1" applyFill="1" applyBorder="1"/>
    <xf numFmtId="10" fontId="14" fillId="3" borderId="7" xfId="2" applyNumberFormat="1" applyFont="1" applyFill="1" applyBorder="1" applyAlignment="1">
      <alignment horizontal="center" vertical="center"/>
    </xf>
    <xf numFmtId="44" fontId="12" fillId="3" borderId="7" xfId="1" applyFon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44" fontId="6" fillId="0" borderId="7" xfId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44" fontId="11" fillId="0" borderId="7" xfId="1" applyFont="1" applyBorder="1" applyAlignment="1">
      <alignment horizontal="center" vertical="center"/>
    </xf>
    <xf numFmtId="44" fontId="9" fillId="0" borderId="7" xfId="1" applyFont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/>
    <xf numFmtId="10" fontId="16" fillId="0" borderId="7" xfId="2" applyNumberFormat="1" applyFont="1" applyBorder="1" applyAlignment="1">
      <alignment horizontal="center" vertical="center"/>
    </xf>
    <xf numFmtId="0" fontId="9" fillId="0" borderId="1" xfId="0" applyFont="1" applyBorder="1"/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/>
    <xf numFmtId="44" fontId="9" fillId="0" borderId="7" xfId="0" applyNumberFormat="1" applyFont="1" applyBorder="1" applyAlignment="1">
      <alignment horizontal="center" vertical="center"/>
    </xf>
    <xf numFmtId="0" fontId="7" fillId="4" borderId="1" xfId="0" applyFont="1" applyFill="1" applyBorder="1"/>
    <xf numFmtId="0" fontId="7" fillId="4" borderId="3" xfId="0" applyFont="1" applyFill="1" applyBorder="1"/>
    <xf numFmtId="44" fontId="5" fillId="4" borderId="7" xfId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/>
    <xf numFmtId="0" fontId="5" fillId="4" borderId="3" xfId="0" applyFont="1" applyFill="1" applyBorder="1"/>
    <xf numFmtId="10" fontId="5" fillId="4" borderId="7" xfId="2" applyNumberFormat="1" applyFont="1" applyFill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>
      <alignment horizontal="center"/>
    </xf>
    <xf numFmtId="0" fontId="0" fillId="0" borderId="3" xfId="0" applyBorder="1"/>
    <xf numFmtId="0" fontId="8" fillId="2" borderId="7" xfId="0" applyFont="1" applyFill="1" applyBorder="1" applyAlignment="1">
      <alignment horizontal="center" vertical="center"/>
    </xf>
    <xf numFmtId="0" fontId="0" fillId="0" borderId="2" xfId="0" applyBorder="1"/>
    <xf numFmtId="0" fontId="17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114300</xdr:rowOff>
    </xdr:from>
    <xdr:to>
      <xdr:col>1</xdr:col>
      <xdr:colOff>936186</xdr:colOff>
      <xdr:row>1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8898" t="11440" r="11865" b="11865"/>
        <a:stretch>
          <a:fillRect/>
        </a:stretch>
      </xdr:blipFill>
      <xdr:spPr bwMode="auto">
        <a:xfrm>
          <a:off x="1019175" y="114300"/>
          <a:ext cx="679011" cy="6762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tabSelected="1" workbookViewId="0">
      <selection activeCell="D29" sqref="D29"/>
    </sheetView>
  </sheetViews>
  <sheetFormatPr baseColWidth="10" defaultRowHeight="15" x14ac:dyDescent="0.25"/>
  <cols>
    <col min="2" max="2" width="21.28515625" customWidth="1"/>
    <col min="3" max="3" width="50.85546875" customWidth="1"/>
    <col min="4" max="4" width="28" customWidth="1"/>
  </cols>
  <sheetData>
    <row r="1" spans="2:6" ht="48" customHeight="1" x14ac:dyDescent="0.25">
      <c r="B1" s="8"/>
      <c r="C1" s="2" t="s">
        <v>0</v>
      </c>
      <c r="D1" s="7" t="s">
        <v>1</v>
      </c>
      <c r="E1" s="3"/>
    </row>
    <row r="2" spans="2:6" ht="15.75" customHeight="1" x14ac:dyDescent="0.25">
      <c r="B2" s="12"/>
      <c r="C2" s="13" t="s">
        <v>2</v>
      </c>
      <c r="D2" s="14" t="s">
        <v>3</v>
      </c>
      <c r="E2" s="4"/>
      <c r="F2" s="4"/>
    </row>
    <row r="3" spans="2:6" x14ac:dyDescent="0.25">
      <c r="B3" s="48" t="s">
        <v>4</v>
      </c>
      <c r="C3" s="49"/>
      <c r="D3" s="47"/>
    </row>
    <row r="4" spans="2:6" x14ac:dyDescent="0.25">
      <c r="B4" s="1" t="s">
        <v>5</v>
      </c>
      <c r="C4" s="1"/>
      <c r="D4" s="6"/>
    </row>
    <row r="5" spans="2:6" x14ac:dyDescent="0.25">
      <c r="B5" s="1" t="s">
        <v>6</v>
      </c>
      <c r="C5" s="1"/>
      <c r="D5" s="6"/>
    </row>
    <row r="6" spans="2:6" x14ac:dyDescent="0.25">
      <c r="B6" s="46" t="s">
        <v>7</v>
      </c>
      <c r="C6" s="47"/>
      <c r="D6" s="15" t="s">
        <v>8</v>
      </c>
    </row>
    <row r="7" spans="2:6" ht="27" customHeight="1" x14ac:dyDescent="0.25">
      <c r="B7" s="53" t="s">
        <v>9</v>
      </c>
      <c r="C7" s="49"/>
      <c r="D7" s="47"/>
    </row>
    <row r="8" spans="2:6" x14ac:dyDescent="0.25">
      <c r="B8" s="51" t="s">
        <v>10</v>
      </c>
      <c r="C8" s="47"/>
      <c r="D8" s="41">
        <v>2000000</v>
      </c>
    </row>
    <row r="9" spans="2:6" x14ac:dyDescent="0.25">
      <c r="B9" s="51" t="s">
        <v>11</v>
      </c>
      <c r="C9" s="47"/>
      <c r="D9" s="41"/>
    </row>
    <row r="10" spans="2:6" x14ac:dyDescent="0.25">
      <c r="B10" s="51" t="s">
        <v>12</v>
      </c>
      <c r="C10" s="47"/>
      <c r="D10" s="41">
        <v>0</v>
      </c>
    </row>
    <row r="11" spans="2:6" x14ac:dyDescent="0.25">
      <c r="B11" s="42" t="s">
        <v>13</v>
      </c>
      <c r="C11" s="43"/>
      <c r="D11" s="41"/>
    </row>
    <row r="12" spans="2:6" ht="33" customHeight="1" x14ac:dyDescent="0.25">
      <c r="B12" s="52" t="s">
        <v>14</v>
      </c>
      <c r="C12" s="47"/>
      <c r="D12" s="31">
        <f>SUM(D8:D11)</f>
        <v>2000000</v>
      </c>
    </row>
    <row r="13" spans="2:6" x14ac:dyDescent="0.25">
      <c r="B13" s="42" t="s">
        <v>15</v>
      </c>
      <c r="C13" s="43"/>
      <c r="D13" s="44">
        <v>0.15</v>
      </c>
    </row>
    <row r="14" spans="2:6" ht="36.75" customHeight="1" x14ac:dyDescent="0.25">
      <c r="B14" s="16" t="s">
        <v>16</v>
      </c>
      <c r="C14" s="17"/>
      <c r="D14" s="24">
        <f>+D15-D12</f>
        <v>352941.17647058843</v>
      </c>
    </row>
    <row r="15" spans="2:6" ht="42" customHeight="1" x14ac:dyDescent="0.35">
      <c r="B15" s="35" t="s">
        <v>17</v>
      </c>
      <c r="C15" s="36"/>
      <c r="D15" s="31">
        <f>+D12/(1-D13)</f>
        <v>2352941.1764705884</v>
      </c>
    </row>
    <row r="16" spans="2:6" hidden="1" x14ac:dyDescent="0.25">
      <c r="B16" s="10" t="s">
        <v>18</v>
      </c>
      <c r="C16" s="6"/>
      <c r="D16" s="25">
        <v>0.19</v>
      </c>
    </row>
    <row r="17" spans="2:4" x14ac:dyDescent="0.25">
      <c r="B17" s="10" t="s">
        <v>19</v>
      </c>
      <c r="C17" s="6"/>
      <c r="D17" s="29">
        <f>+D15*D16</f>
        <v>447058.82352941181</v>
      </c>
    </row>
    <row r="18" spans="2:4" ht="23.45" customHeight="1" x14ac:dyDescent="0.35">
      <c r="B18" s="37" t="s">
        <v>20</v>
      </c>
      <c r="C18" s="33"/>
      <c r="D18" s="38">
        <f>+D17+D15</f>
        <v>2800000</v>
      </c>
    </row>
    <row r="19" spans="2:4" ht="33" customHeight="1" x14ac:dyDescent="0.4">
      <c r="B19" s="50" t="s">
        <v>21</v>
      </c>
      <c r="C19" s="49"/>
      <c r="D19" s="47"/>
    </row>
    <row r="20" spans="2:4" hidden="1" x14ac:dyDescent="0.25">
      <c r="B20" s="10" t="s">
        <v>22</v>
      </c>
      <c r="C20" s="6"/>
      <c r="D20" s="25">
        <v>0.15</v>
      </c>
    </row>
    <row r="21" spans="2:4" x14ac:dyDescent="0.25">
      <c r="B21" s="10" t="s">
        <v>23</v>
      </c>
      <c r="C21" s="6"/>
      <c r="D21" s="26">
        <f>+D20*D14</f>
        <v>52941.17647058826</v>
      </c>
    </row>
    <row r="22" spans="2:4" hidden="1" x14ac:dyDescent="0.25">
      <c r="B22" s="10" t="s">
        <v>24</v>
      </c>
      <c r="C22" s="6"/>
      <c r="D22" s="27">
        <v>3.5000000000000003E-2</v>
      </c>
    </row>
    <row r="23" spans="2:4" x14ac:dyDescent="0.25">
      <c r="B23" s="10" t="s">
        <v>25</v>
      </c>
      <c r="C23" s="6"/>
      <c r="D23" s="28">
        <f>+D15*D22</f>
        <v>82352.941176470602</v>
      </c>
    </row>
    <row r="24" spans="2:4" x14ac:dyDescent="0.25">
      <c r="B24" s="42" t="s">
        <v>26</v>
      </c>
      <c r="C24" s="43"/>
      <c r="D24" s="41">
        <v>0</v>
      </c>
    </row>
    <row r="25" spans="2:4" hidden="1" x14ac:dyDescent="0.25">
      <c r="B25" s="10" t="s">
        <v>27</v>
      </c>
      <c r="C25" s="6"/>
      <c r="D25" s="27">
        <v>2.0000000000000001E-4</v>
      </c>
    </row>
    <row r="26" spans="2:4" x14ac:dyDescent="0.25">
      <c r="B26" s="10" t="s">
        <v>28</v>
      </c>
      <c r="C26" s="6"/>
      <c r="D26" s="28">
        <f>+D15*D25</f>
        <v>470.58823529411768</v>
      </c>
    </row>
    <row r="27" spans="2:4" x14ac:dyDescent="0.25">
      <c r="B27" s="39" t="s">
        <v>29</v>
      </c>
      <c r="C27" s="40"/>
      <c r="D27" s="45">
        <v>90</v>
      </c>
    </row>
    <row r="28" spans="2:4" hidden="1" x14ac:dyDescent="0.25">
      <c r="B28" s="10" t="s">
        <v>30</v>
      </c>
      <c r="C28" s="6"/>
      <c r="D28" s="27">
        <v>1.0999999999999999E-2</v>
      </c>
    </row>
    <row r="29" spans="2:4" x14ac:dyDescent="0.25">
      <c r="B29" s="10" t="s">
        <v>31</v>
      </c>
      <c r="C29" s="6"/>
      <c r="D29" s="27">
        <f>IF(D27&gt;60,(D27-60)/30*D28,0)</f>
        <v>1.0999999999999999E-2</v>
      </c>
    </row>
    <row r="30" spans="2:4" x14ac:dyDescent="0.25">
      <c r="B30" s="10" t="s">
        <v>32</v>
      </c>
      <c r="C30" s="6"/>
      <c r="D30" s="29">
        <f>+D29*D15</f>
        <v>25882.352941176472</v>
      </c>
    </row>
    <row r="31" spans="2:4" ht="38.25" customHeight="1" x14ac:dyDescent="0.25">
      <c r="B31" s="52" t="s">
        <v>33</v>
      </c>
      <c r="C31" s="47"/>
      <c r="D31" s="30">
        <f>+D30+D26+D24+D23+D21</f>
        <v>161647.05882352946</v>
      </c>
    </row>
    <row r="32" spans="2:4" x14ac:dyDescent="0.25">
      <c r="B32" s="9"/>
      <c r="C32" s="5"/>
      <c r="D32" s="11"/>
    </row>
    <row r="33" spans="2:4" ht="48" customHeight="1" x14ac:dyDescent="0.25">
      <c r="B33" s="20" t="s">
        <v>34</v>
      </c>
      <c r="C33" s="18"/>
      <c r="D33" s="19">
        <f>+D14-D31</f>
        <v>191294.11764705897</v>
      </c>
    </row>
    <row r="34" spans="2:4" ht="23.45" customHeight="1" x14ac:dyDescent="0.35">
      <c r="B34" s="32" t="s">
        <v>35</v>
      </c>
      <c r="C34" s="33"/>
      <c r="D34" s="34">
        <f>IFERROR(+D33/D12,0)</f>
        <v>9.5647058823529488E-2</v>
      </c>
    </row>
    <row r="35" spans="2:4" ht="23.45" customHeight="1" x14ac:dyDescent="0.35">
      <c r="B35" s="21" t="s">
        <v>36</v>
      </c>
      <c r="C35" s="22"/>
      <c r="D35" s="23">
        <f>IFERROR(+D33/D15,0)</f>
        <v>8.1300000000000053E-2</v>
      </c>
    </row>
  </sheetData>
  <mergeCells count="9">
    <mergeCell ref="B6:C6"/>
    <mergeCell ref="B3:D3"/>
    <mergeCell ref="B19:D19"/>
    <mergeCell ref="B10:C10"/>
    <mergeCell ref="B31:C31"/>
    <mergeCell ref="B9:C9"/>
    <mergeCell ref="B7:D7"/>
    <mergeCell ref="B8:C8"/>
    <mergeCell ref="B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kospino</dc:creator>
  <cp:lastModifiedBy>Daniel Felipe Cardenas Rivera</cp:lastModifiedBy>
  <cp:lastPrinted>2025-01-16T19:56:01Z</cp:lastPrinted>
  <dcterms:created xsi:type="dcterms:W3CDTF">2011-01-26T16:23:56Z</dcterms:created>
  <dcterms:modified xsi:type="dcterms:W3CDTF">2026-04-28T19:52:26Z</dcterms:modified>
</cp:coreProperties>
</file>